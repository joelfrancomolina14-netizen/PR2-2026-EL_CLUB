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EL\Documents\progra II\"/>
    </mc:Choice>
  </mc:AlternateContent>
  <xr:revisionPtr revIDLastSave="0" documentId="8_{192633ED-E90A-4D3B-879A-7A7AFB8FD1C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E22" i="1"/>
  <c r="E21" i="1"/>
  <c r="E20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C3" i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</calcChain>
</file>

<file path=xl/sharedStrings.xml><?xml version="1.0" encoding="utf-8"?>
<sst xmlns="http://schemas.openxmlformats.org/spreadsheetml/2006/main" count="45" uniqueCount="32">
  <si>
    <t>Diagrama de Gantt — Sistema Club del Billar</t>
  </si>
  <si>
    <t>Edita solo las celdas azules (Inicio, Fin, Avance). El diagrama de barras se actualiza solo. Las fechas iniciales son una estimación (inicio lunes 5/oct/2026).</t>
  </si>
  <si>
    <t>Inicio del cronograma (lunes, calculado):</t>
  </si>
  <si>
    <t>Fase</t>
  </si>
  <si>
    <t>Tarea</t>
  </si>
  <si>
    <t>Inicio</t>
  </si>
  <si>
    <t>Fin</t>
  </si>
  <si>
    <t>Días</t>
  </si>
  <si>
    <t>Avance</t>
  </si>
  <si>
    <t>Análisis y diseño</t>
  </si>
  <si>
    <t>Levantamiento de requisitos del club</t>
  </si>
  <si>
    <t>Modelo entidad-relación Chen</t>
  </si>
  <si>
    <t>Modelo relacional y diccionario de datos</t>
  </si>
  <si>
    <t>Base de datos</t>
  </si>
  <si>
    <t>Empleado, Dueño, EmpleadoComun, Cliente</t>
  </si>
  <si>
    <t>Mesa y Horario</t>
  </si>
  <si>
    <t>Reserva, UsoMesa y Partida</t>
  </si>
  <si>
    <t>Torneo (Eliminatorio / Liga)</t>
  </si>
  <si>
    <t>Producto, Pedido y DetallePedido</t>
  </si>
  <si>
    <t>Desarrollo de módulos</t>
  </si>
  <si>
    <t>Registro y acceso (clientes y empleados)</t>
  </si>
  <si>
    <t>Gestión de mesas y horarios</t>
  </si>
  <si>
    <t>Reservas y confirmación por empleado</t>
  </si>
  <si>
    <t>Uso de mesa, partidas y cobro</t>
  </si>
  <si>
    <t>Pedidos y control de productos</t>
  </si>
  <si>
    <t>Torneos e inscripciones</t>
  </si>
  <si>
    <t>Pruebas y cierre</t>
  </si>
  <si>
    <t>Pruebas integrales</t>
  </si>
  <si>
    <t>Corrección de errores</t>
  </si>
  <si>
    <t>color azul = tarea realiza</t>
  </si>
  <si>
    <t>Ccolor rojo = tarea por realizar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</si>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</sst>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6B6F85"/>
      <name val="Arial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1"/>
      <color rgb="FFFF0000"/>
      <name val="Calibri"/>
      <family val="2"/>
      <charset val="1"/>
    </font>
    <font>
      <i/>
      <sz val="10"/>
      <color rgb="FF6B6F8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1D2A"/>
        <bgColor rgb="FF3333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BE5"/>
      </bottom>
      <diagonal/>
    </border>
    <border>
      <left style="thin">
        <color rgb="FFD9DBE5"/>
      </left>
      <right/>
      <top/>
      <bottom style="thin">
        <color rgb="FFD9DB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textRotation="90" wrapText="1"/>
    </xf>
    <xf numFmtId="0" fontId="5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0" fillId="0" borderId="2" xfId="0" applyBorder="1"/>
    <xf numFmtId="0" fontId="7" fillId="3" borderId="2" xfId="0" applyFont="1" applyFill="1" applyBorder="1"/>
    <xf numFmtId="0" fontId="0" fillId="3" borderId="2" xfId="0" applyFill="1" applyBorder="1"/>
    <xf numFmtId="0" fontId="8" fillId="0" borderId="0" xfId="0" applyFont="1"/>
    <xf numFmtId="0" fontId="9" fillId="0" borderId="1" xfId="0" applyFont="1" applyBorder="1"/>
  </cellXfs>
  <cellStyles count="1">
    <cellStyle name="Normal" xfId="0" builtinId="0"/>
  </cellStyles>
  <dxfs count="12">
    <dxf>
      <fill>
        <patternFill>
          <bgColor rgb="FFC2415D"/>
        </patternFill>
      </fill>
    </dxf>
    <dxf>
      <fill>
        <patternFill>
          <bgColor rgb="FFE08A00"/>
        </patternFill>
      </fill>
    </dxf>
    <dxf>
      <fill>
        <patternFill>
          <bgColor rgb="FF0F9D7A"/>
        </patternFill>
      </fill>
    </dxf>
    <dxf>
      <fill>
        <patternFill>
          <bgColor rgb="FF4C3AE3"/>
        </patternFill>
      </fill>
    </dxf>
    <dxf>
      <fill>
        <patternFill>
          <bgColor rgb="FFC2415D"/>
        </patternFill>
      </fill>
    </dxf>
    <dxf>
      <fill>
        <patternFill>
          <bgColor rgb="FFE08A00"/>
        </patternFill>
      </fill>
    </dxf>
    <dxf>
      <fill>
        <patternFill>
          <bgColor rgb="FF0F9D7A"/>
        </patternFill>
      </fill>
    </dxf>
    <dxf>
      <fill>
        <patternFill>
          <bgColor rgb="FF4C3AE3"/>
        </patternFill>
      </fill>
    </dxf>
    <dxf>
      <fill>
        <patternFill>
          <bgColor rgb="FFC2415D"/>
        </patternFill>
      </fill>
    </dxf>
    <dxf>
      <fill>
        <patternFill>
          <bgColor rgb="FFE08A00"/>
        </patternFill>
      </fill>
    </dxf>
    <dxf>
      <fill>
        <patternFill>
          <bgColor rgb="FF0F9D7A"/>
        </patternFill>
      </fill>
    </dxf>
    <dxf>
      <fill>
        <patternFill>
          <bgColor rgb="FF4C3A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415D"/>
      <rgbColor rgb="FFFFFFCC"/>
      <rgbColor rgb="FFCCFFFF"/>
      <rgbColor rgb="FF660066"/>
      <rgbColor rgb="FFFF8080"/>
      <rgbColor rgb="FF0066CC"/>
      <rgbColor rgb="FFD9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8A00"/>
      <rgbColor rgb="FFFF6600"/>
      <rgbColor rgb="FF6B6F85"/>
      <rgbColor rgb="FF969696"/>
      <rgbColor rgb="FF003366"/>
      <rgbColor rgb="FF0F9D7A"/>
      <rgbColor rgb="FF003300"/>
      <rgbColor rgb="FF333300"/>
      <rgbColor rgb="FF993300"/>
      <rgbColor rgb="FF993366"/>
      <rgbColor rgb="FF4C3AE3"/>
      <rgbColor rgb="FF1B1D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showGridLines="0" tabSelected="1" zoomScaleNormal="100" workbookViewId="0">
      <pane ySplit="5" topLeftCell="A6" activePane="bottomLeft" state="frozen"/>
      <selection pane="bottomLeft" activeCell="B3" sqref="B3"/>
    </sheetView>
  </sheetViews>
  <sheetFormatPr baseColWidth="10" defaultColWidth="8.6640625" defaultRowHeight="14.4" x14ac:dyDescent="0.3"/>
  <cols>
    <col min="1" max="1" width="22" customWidth="1"/>
    <col min="2" max="2" width="42" customWidth="1"/>
    <col min="3" max="4" width="12" customWidth="1"/>
    <col min="5" max="5" width="7" customWidth="1"/>
    <col min="6" max="6" width="9" customWidth="1"/>
    <col min="7" max="32" width="4.21875" customWidth="1"/>
  </cols>
  <sheetData>
    <row r="1" spans="1:32" ht="17.399999999999999" x14ac:dyDescent="0.3">
      <c r="A1" s="1" t="s">
        <v>0</v>
      </c>
    </row>
    <row r="2" spans="1:32" x14ac:dyDescent="0.3">
      <c r="A2" s="2" t="s">
        <v>1</v>
      </c>
    </row>
    <row r="3" spans="1:32" x14ac:dyDescent="0.3">
      <c r="A3" s="3" t="s">
        <v>2</v>
      </c>
      <c r="C3" s="4">
        <f>MIN(C6:C22)-WEEKDAY(MIN(C6:C22),3)</f>
        <v>46300</v>
      </c>
    </row>
    <row r="5" spans="1:32" ht="39.75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>
        <f>$C$3</f>
        <v>46300</v>
      </c>
      <c r="H5" s="6">
        <f t="shared" ref="H5:AF5" si="0">G5+7</f>
        <v>46307</v>
      </c>
      <c r="I5" s="6">
        <f t="shared" si="0"/>
        <v>46314</v>
      </c>
      <c r="J5" s="6">
        <f t="shared" si="0"/>
        <v>46321</v>
      </c>
      <c r="K5" s="6">
        <f t="shared" si="0"/>
        <v>46328</v>
      </c>
      <c r="L5" s="6">
        <f t="shared" si="0"/>
        <v>46335</v>
      </c>
      <c r="M5" s="6">
        <f t="shared" si="0"/>
        <v>46342</v>
      </c>
      <c r="N5" s="6">
        <f t="shared" si="0"/>
        <v>46349</v>
      </c>
      <c r="O5" s="6">
        <f t="shared" si="0"/>
        <v>46356</v>
      </c>
      <c r="P5" s="6">
        <f t="shared" si="0"/>
        <v>46363</v>
      </c>
      <c r="Q5" s="6">
        <f t="shared" si="0"/>
        <v>46370</v>
      </c>
      <c r="R5" s="6">
        <f t="shared" si="0"/>
        <v>46377</v>
      </c>
      <c r="S5" s="6">
        <f t="shared" si="0"/>
        <v>46384</v>
      </c>
      <c r="T5" s="6">
        <f t="shared" si="0"/>
        <v>46391</v>
      </c>
      <c r="U5" s="6">
        <f t="shared" si="0"/>
        <v>46398</v>
      </c>
      <c r="V5" s="6">
        <f t="shared" si="0"/>
        <v>46405</v>
      </c>
      <c r="W5" s="6">
        <f t="shared" si="0"/>
        <v>46412</v>
      </c>
      <c r="X5" s="6">
        <f t="shared" si="0"/>
        <v>46419</v>
      </c>
      <c r="Y5" s="6">
        <f t="shared" si="0"/>
        <v>46426</v>
      </c>
      <c r="Z5" s="6">
        <f t="shared" si="0"/>
        <v>46433</v>
      </c>
      <c r="AA5" s="6">
        <f t="shared" si="0"/>
        <v>46440</v>
      </c>
      <c r="AB5" s="6">
        <f t="shared" si="0"/>
        <v>46447</v>
      </c>
      <c r="AC5" s="6">
        <f t="shared" si="0"/>
        <v>46454</v>
      </c>
      <c r="AD5" s="6">
        <f t="shared" si="0"/>
        <v>46461</v>
      </c>
      <c r="AE5" s="6">
        <f t="shared" si="0"/>
        <v>46468</v>
      </c>
      <c r="AF5" s="6">
        <f t="shared" si="0"/>
        <v>46475</v>
      </c>
    </row>
    <row r="6" spans="1:32" x14ac:dyDescent="0.3">
      <c r="A6" s="7" t="s">
        <v>9</v>
      </c>
      <c r="B6" s="7" t="s">
        <v>10</v>
      </c>
      <c r="C6" s="8">
        <v>46300</v>
      </c>
      <c r="D6" s="8">
        <v>46306</v>
      </c>
      <c r="E6" s="9">
        <f t="shared" ref="E6:E22" si="1">D6-C6+1</f>
        <v>7</v>
      </c>
      <c r="F6" s="10">
        <v>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3">
      <c r="A7" s="7" t="s">
        <v>9</v>
      </c>
      <c r="B7" s="7" t="s">
        <v>11</v>
      </c>
      <c r="C7" s="8">
        <v>46307</v>
      </c>
      <c r="D7" s="8">
        <v>46313</v>
      </c>
      <c r="E7" s="9">
        <f t="shared" si="1"/>
        <v>7</v>
      </c>
      <c r="F7" s="10">
        <v>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x14ac:dyDescent="0.3">
      <c r="A8" s="7" t="s">
        <v>9</v>
      </c>
      <c r="B8" s="7" t="s">
        <v>12</v>
      </c>
      <c r="C8" s="8">
        <v>46314</v>
      </c>
      <c r="D8" s="8">
        <v>46320</v>
      </c>
      <c r="E8" s="9">
        <f t="shared" si="1"/>
        <v>7</v>
      </c>
      <c r="F8" s="10">
        <v>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x14ac:dyDescent="0.3">
      <c r="A9" s="7" t="s">
        <v>13</v>
      </c>
      <c r="B9" s="7" t="s">
        <v>14</v>
      </c>
      <c r="C9" s="8">
        <v>46321</v>
      </c>
      <c r="D9" s="8">
        <v>46327</v>
      </c>
      <c r="E9" s="9">
        <f t="shared" si="1"/>
        <v>7</v>
      </c>
      <c r="F9" s="10">
        <v>0</v>
      </c>
      <c r="G9" s="11"/>
      <c r="H9" s="11"/>
      <c r="I9" s="11"/>
      <c r="J9" s="1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2" x14ac:dyDescent="0.3">
      <c r="A10" s="7" t="s">
        <v>13</v>
      </c>
      <c r="B10" s="7" t="s">
        <v>15</v>
      </c>
      <c r="C10" s="8">
        <v>46321</v>
      </c>
      <c r="D10" s="8">
        <v>46327</v>
      </c>
      <c r="E10" s="9">
        <f t="shared" si="1"/>
        <v>7</v>
      </c>
      <c r="F10" s="10">
        <v>0</v>
      </c>
      <c r="G10" s="11"/>
      <c r="H10" s="11"/>
      <c r="I10" s="11"/>
      <c r="J10" s="13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2" x14ac:dyDescent="0.3">
      <c r="A11" s="7" t="s">
        <v>13</v>
      </c>
      <c r="B11" s="7" t="s">
        <v>16</v>
      </c>
      <c r="C11" s="8">
        <v>46328</v>
      </c>
      <c r="D11" s="8">
        <v>46334</v>
      </c>
      <c r="E11" s="9">
        <f t="shared" si="1"/>
        <v>7</v>
      </c>
      <c r="F11" s="10">
        <v>0</v>
      </c>
      <c r="G11" s="11"/>
      <c r="H11" s="11"/>
      <c r="I11" s="11"/>
      <c r="J11" s="11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2" x14ac:dyDescent="0.3">
      <c r="A12" s="7" t="s">
        <v>13</v>
      </c>
      <c r="B12" s="7" t="s">
        <v>17</v>
      </c>
      <c r="C12" s="8">
        <v>46328</v>
      </c>
      <c r="D12" s="8">
        <v>46334</v>
      </c>
      <c r="E12" s="9">
        <f t="shared" si="1"/>
        <v>7</v>
      </c>
      <c r="F12" s="10">
        <v>0</v>
      </c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x14ac:dyDescent="0.3">
      <c r="A13" s="7" t="s">
        <v>13</v>
      </c>
      <c r="B13" s="7" t="s">
        <v>18</v>
      </c>
      <c r="C13" s="8">
        <v>46335</v>
      </c>
      <c r="D13" s="8">
        <v>46341</v>
      </c>
      <c r="E13" s="9">
        <f t="shared" si="1"/>
        <v>7</v>
      </c>
      <c r="F13" s="10">
        <v>0</v>
      </c>
      <c r="G13" s="11"/>
      <c r="H13" s="11"/>
      <c r="I13" s="11"/>
      <c r="J13" s="11"/>
      <c r="K13" s="11"/>
      <c r="L13" s="13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2" x14ac:dyDescent="0.3">
      <c r="A14" s="7" t="s">
        <v>19</v>
      </c>
      <c r="B14" s="7" t="s">
        <v>20</v>
      </c>
      <c r="C14" s="8">
        <v>46335</v>
      </c>
      <c r="D14" s="8">
        <v>46348</v>
      </c>
      <c r="E14" s="9">
        <f t="shared" si="1"/>
        <v>14</v>
      </c>
      <c r="F14" s="10">
        <v>0</v>
      </c>
      <c r="G14" s="11"/>
      <c r="H14" s="11"/>
      <c r="I14" s="11"/>
      <c r="J14" s="11"/>
      <c r="K14" s="11"/>
      <c r="L14" s="13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2" x14ac:dyDescent="0.3">
      <c r="A15" s="7" t="s">
        <v>19</v>
      </c>
      <c r="B15" s="7" t="s">
        <v>21</v>
      </c>
      <c r="C15" s="8">
        <v>46342</v>
      </c>
      <c r="D15" s="8">
        <v>46355</v>
      </c>
      <c r="E15" s="9">
        <f t="shared" si="1"/>
        <v>14</v>
      </c>
      <c r="F15" s="10">
        <v>0</v>
      </c>
      <c r="G15" s="11"/>
      <c r="H15" s="11"/>
      <c r="I15" s="11"/>
      <c r="J15" s="11"/>
      <c r="K15" s="11"/>
      <c r="L15" s="11"/>
      <c r="M15" s="13"/>
      <c r="N15" s="1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2" x14ac:dyDescent="0.3">
      <c r="A16" s="7" t="s">
        <v>19</v>
      </c>
      <c r="B16" s="7" t="s">
        <v>22</v>
      </c>
      <c r="C16" s="8">
        <v>46349</v>
      </c>
      <c r="D16" s="8">
        <v>46362</v>
      </c>
      <c r="E16" s="9">
        <f t="shared" si="1"/>
        <v>14</v>
      </c>
      <c r="F16" s="10">
        <v>0</v>
      </c>
      <c r="G16" s="11"/>
      <c r="H16" s="11"/>
      <c r="I16" s="11"/>
      <c r="J16" s="11"/>
      <c r="K16" s="11"/>
      <c r="L16" s="11"/>
      <c r="M16" s="11"/>
      <c r="N16" s="13"/>
      <c r="O16" s="13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1" x14ac:dyDescent="0.3">
      <c r="A17" s="7" t="s">
        <v>19</v>
      </c>
      <c r="B17" s="7" t="s">
        <v>23</v>
      </c>
      <c r="C17" s="8">
        <v>46356</v>
      </c>
      <c r="D17" s="8">
        <v>46369</v>
      </c>
      <c r="E17" s="9">
        <f t="shared" si="1"/>
        <v>14</v>
      </c>
      <c r="F17" s="10">
        <v>0</v>
      </c>
      <c r="G17" s="11"/>
      <c r="H17" s="11"/>
      <c r="I17" s="11"/>
      <c r="J17" s="11"/>
      <c r="K17" s="11"/>
      <c r="L17" s="11"/>
      <c r="M17" s="11"/>
      <c r="N17" s="11"/>
      <c r="O17" s="13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1" x14ac:dyDescent="0.3">
      <c r="A18" s="7" t="s">
        <v>19</v>
      </c>
      <c r="B18" s="7" t="s">
        <v>24</v>
      </c>
      <c r="C18" s="8">
        <v>46356</v>
      </c>
      <c r="D18" s="8">
        <v>46369</v>
      </c>
      <c r="E18" s="9">
        <f t="shared" si="1"/>
        <v>14</v>
      </c>
      <c r="F18" s="10">
        <v>0</v>
      </c>
      <c r="G18" s="11"/>
      <c r="H18" s="11"/>
      <c r="I18" s="11"/>
      <c r="J18" s="11"/>
      <c r="K18" s="11"/>
      <c r="L18" s="11"/>
      <c r="M18" s="11"/>
      <c r="N18" s="11"/>
      <c r="O18" s="13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1" x14ac:dyDescent="0.3">
      <c r="A19" s="7" t="s">
        <v>19</v>
      </c>
      <c r="B19" s="7" t="s">
        <v>25</v>
      </c>
      <c r="C19" s="8">
        <v>46363</v>
      </c>
      <c r="D19" s="8">
        <v>46376</v>
      </c>
      <c r="E19" s="9">
        <f t="shared" si="1"/>
        <v>14</v>
      </c>
      <c r="F19" s="10"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1" x14ac:dyDescent="0.3">
      <c r="A20" s="7" t="s">
        <v>26</v>
      </c>
      <c r="B20" s="7" t="s">
        <v>27</v>
      </c>
      <c r="C20" s="8">
        <v>46370</v>
      </c>
      <c r="D20" s="8">
        <v>46376</v>
      </c>
      <c r="E20" s="9">
        <f t="shared" si="1"/>
        <v>7</v>
      </c>
      <c r="F20" s="10">
        <v>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3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x14ac:dyDescent="0.3">
      <c r="A21" s="7" t="s">
        <v>26</v>
      </c>
      <c r="B21" s="7" t="s">
        <v>28</v>
      </c>
      <c r="C21" s="8">
        <v>46377</v>
      </c>
      <c r="D21" s="8">
        <v>46383</v>
      </c>
      <c r="E21" s="9">
        <f t="shared" si="1"/>
        <v>7</v>
      </c>
      <c r="F21" s="10">
        <v>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3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x14ac:dyDescent="0.3">
      <c r="A22" s="7" t="s">
        <v>26</v>
      </c>
      <c r="B22" s="15" t="s">
        <v>31</v>
      </c>
      <c r="C22" s="8">
        <v>46377</v>
      </c>
      <c r="D22" s="8">
        <v>46383</v>
      </c>
      <c r="E22" s="9">
        <f t="shared" si="1"/>
        <v>7</v>
      </c>
      <c r="F22" s="10">
        <v>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3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4" spans="1:31" x14ac:dyDescent="0.3">
      <c r="A24" s="14" t="s">
        <v>29</v>
      </c>
    </row>
    <row r="25" spans="1:31" x14ac:dyDescent="0.3">
      <c r="A25" s="14" t="s">
        <v>30</v>
      </c>
    </row>
  </sheetData>
  <conditionalFormatting sqref="G6:AF8 G9:I10 G11:J12 G13:K14 G15:L15 G16:M16 G17:N18 G19:O19 G20:P20 G21:Q22">
    <cfRule type="expression" dxfId="11" priority="2">
      <formula>AND($A6="Análisis y diseño",$C6&lt;=G$5+6,$D6&gt;=G$5)</formula>
    </cfRule>
    <cfRule type="expression" dxfId="10" priority="3">
      <formula>AND($A6="Base de datos",$C6&lt;=G$5+6,$D6&gt;=G$5)</formula>
    </cfRule>
    <cfRule type="expression" dxfId="9" priority="4">
      <formula>AND($A6="Desarrollo de módulos",$C6&lt;=G$5+6,$D6&gt;=G$5)</formula>
    </cfRule>
    <cfRule type="expression" dxfId="8" priority="5">
      <formula>AND($A6="Pruebas y cierre",$C6&lt;=G$5+6,$D6&gt;=G$5)</formula>
    </cfRule>
  </conditionalFormatting>
  <conditionalFormatting sqref="L14:AD14 M15:AD15 N16:AD16 P19:AD19 O17:AD18">
    <cfRule type="expression" dxfId="7" priority="18">
      <formula>AND($A14="Análisis y diseño",$C14&lt;=N$5+6,$D14&gt;=N$5)</formula>
    </cfRule>
    <cfRule type="expression" dxfId="6" priority="19">
      <formula>AND($A14="Base de datos",$C14&lt;=N$5+6,$D14&gt;=N$5)</formula>
    </cfRule>
    <cfRule type="expression" dxfId="5" priority="20">
      <formula>AND($A14="Desarrollo de módulos",$C14&lt;=N$5+6,$D14&gt;=N$5)</formula>
    </cfRule>
    <cfRule type="expression" dxfId="4" priority="21">
      <formula>AND($A14="Pruebas y cierre",$C14&lt;=N$5+6,$D14&gt;=N$5)</formula>
    </cfRule>
  </conditionalFormatting>
  <conditionalFormatting sqref="J9:AE10 K11:AE12 L13:AE13 Q20:AE20 R21:AE22">
    <cfRule type="expression" dxfId="3" priority="26">
      <formula>AND($A9="Análisis y diseño",$C9&lt;=K$5+6,$D9&gt;=K$5)</formula>
    </cfRule>
    <cfRule type="expression" dxfId="2" priority="27">
      <formula>AND($A9="Base de datos",$C9&lt;=K$5+6,$D9&gt;=K$5)</formula>
    </cfRule>
    <cfRule type="expression" dxfId="1" priority="28">
      <formula>AND($A9="Desarrollo de módulos",$C9&lt;=K$5+6,$D9&gt;=K$5)</formula>
    </cfRule>
    <cfRule type="expression" dxfId="0" priority="29">
      <formula>AND($A9="Pruebas y cierre",$C9&lt;=K$5+6,$D9&gt;=K$5)</formula>
    </cfRule>
  </conditionalFormatting>
  <dataValidations count="1">
    <dataValidation type="custom" showErrorMessage="1" error="La fecha de fin no puede ser anterior al inicio." sqref="D6:D22" xr:uid="{00000000-0002-0000-0000-000000000000}">
      <formula1>D6&gt;=C6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joelfranco123@outlook.es</cp:lastModifiedBy>
  <cp:revision>0</cp:revision>
  <dcterms:created xsi:type="dcterms:W3CDTF">2026-10-05T15:23:03Z</dcterms:created>
  <dcterms:modified xsi:type="dcterms:W3CDTF">2026-10-05T15:44:02Z</dcterms:modified>
  <dc:language>en-US</dc:language>
</cp:coreProperties>
</file>