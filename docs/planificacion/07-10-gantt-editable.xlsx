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JOEL\Documents\progra II\"/>
    </mc:Choice>
  </mc:AlternateContent>
  <xr:revisionPtr revIDLastSave="0" documentId="8_{D99E96C0-CDE5-4327-8346-E3A1CBAB065B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Gant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3" i="1" l="1"/>
  <c r="E22" i="1"/>
  <c r="E21" i="1"/>
  <c r="C3" i="1"/>
  <c r="G5" i="1" s="1"/>
  <c r="H5" i="1" s="1"/>
  <c r="E12" i="1"/>
  <c r="E13" i="1"/>
  <c r="E14" i="1"/>
  <c r="E15" i="1"/>
  <c r="E17" i="1"/>
  <c r="E18" i="1"/>
  <c r="E19" i="1"/>
  <c r="E20" i="1"/>
</calcChain>
</file>

<file path=xl/sharedStrings.xml><?xml version="1.0" encoding="utf-8"?>
<sst xmlns="http://schemas.openxmlformats.org/spreadsheetml/2006/main" count="47" uniqueCount="37">
  <si>
    <t>Diagrama de Gantt — Sistema Club del Billar</t>
  </si>
  <si>
    <t>Fase</t>
  </si>
  <si>
    <t>Tarea</t>
  </si>
  <si>
    <t>Inicio</t>
  </si>
  <si>
    <t>Fin</t>
  </si>
  <si>
    <t>Días</t>
  </si>
  <si>
    <t>Avance</t>
  </si>
  <si>
    <t>Análisis y diseño</t>
  </si>
  <si>
    <t>Levantamiento de requisitos del club</t>
  </si>
  <si>
    <t>Modelo relacional y diccionario de datos</t>
  </si>
  <si>
    <t>Base de datos</t>
  </si>
  <si>
    <t>Empleado, Dueño, EmpleadoComun, Cliente</t>
  </si>
  <si>
    <t>Mesa y Horario</t>
  </si>
  <si>
    <t>Reserva, UsoMesa y Partida</t>
  </si>
  <si>
    <t>Torneo (Eliminatorio / Liga)</t>
  </si>
  <si>
    <t>Desarrollo de módulos</t>
  </si>
  <si>
    <t>Registro y acceso (clientes y empleados)</t>
  </si>
  <si>
    <t>Gestión de mesas y horarios</t>
  </si>
  <si>
    <t>Reservas y confirmación por empleado</t>
  </si>
  <si>
    <t>Uso de mesa, partidas y cobro</t>
  </si>
  <si>
    <t>Pedidos y control de productos</t>
  </si>
  <si>
    <t>Torneos e inscripciones</t>
  </si>
  <si>
    <t>celdas azules = hecho</t>
  </si>
  <si>
    <t>celdas rojas = por hacer</t>
  </si>
  <si>
    <t xml:space="preserve">Inicio del cronograma: </t>
  </si>
  <si>
    <t>( lunes, 10:30 am )</t>
  </si>
  <si>
    <t>Diagrama de chen</t>
  </si>
  <si>
    <t>programcion</t>
  </si>
  <si>
    <t>programacion</t>
  </si>
  <si>
    <t>interfaz y imágenes en windows form</t>
  </si>
  <si>
    <t>codigos de direcciones de botones</t>
  </si>
  <si>
    <t xml:space="preserve">conecciones con SQL </t>
  </si>
  <si>
    <t xml:space="preserve">conección con base de datos </t>
  </si>
  <si>
    <t>pruebas y correciones</t>
  </si>
  <si>
    <t>pruebas de cada función</t>
  </si>
  <si>
    <t>entrega final del proyecto</t>
  </si>
  <si>
    <t>preparar la aplicaion para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</si>
</sst>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6B6F85"/>
      <name val="Arial"/>
      <charset val="1"/>
    </font>
    <font>
      <b/>
      <sz val="10"/>
      <name val="Arial"/>
      <charset val="1"/>
    </font>
    <font>
      <b/>
      <sz val="9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B1D2A"/>
        <bgColor rgb="FF333300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BE5"/>
      </bottom>
      <diagonal/>
    </border>
    <border>
      <left style="thin">
        <color rgb="FFD9DBE5"/>
      </left>
      <right/>
      <top/>
      <bottom style="thin">
        <color rgb="FFD9DBE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4" fillId="2" borderId="0" xfId="0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textRotation="90" wrapText="1"/>
    </xf>
    <xf numFmtId="0" fontId="5" fillId="0" borderId="1" xfId="0" applyFont="1" applyBorder="1"/>
    <xf numFmtId="14" fontId="6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0" fillId="0" borderId="2" xfId="0" applyBorder="1"/>
    <xf numFmtId="9" fontId="6" fillId="3" borderId="1" xfId="0" applyNumberFormat="1" applyFont="1" applyFill="1" applyBorder="1" applyAlignment="1">
      <alignment horizontal="center"/>
    </xf>
    <xf numFmtId="0" fontId="0" fillId="3" borderId="2" xfId="0" applyFill="1" applyBorder="1"/>
    <xf numFmtId="0" fontId="7" fillId="0" borderId="1" xfId="0" applyFont="1" applyBorder="1"/>
    <xf numFmtId="0" fontId="0" fillId="4" borderId="2" xfId="0" applyFill="1" applyBorder="1"/>
    <xf numFmtId="0" fontId="0" fillId="5" borderId="2" xfId="0" applyFill="1" applyBorder="1"/>
    <xf numFmtId="0" fontId="5" fillId="0" borderId="0" xfId="0" applyFont="1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2415D"/>
      <rgbColor rgb="FFFFFFCC"/>
      <rgbColor rgb="FFCCFFFF"/>
      <rgbColor rgb="FF660066"/>
      <rgbColor rgb="FFFF8080"/>
      <rgbColor rgb="FF0066CC"/>
      <rgbColor rgb="FFD9DB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08A00"/>
      <rgbColor rgb="FFFF6600"/>
      <rgbColor rgb="FF6B6F85"/>
      <rgbColor rgb="FF969696"/>
      <rgbColor rgb="FF003366"/>
      <rgbColor rgb="FF0F9D7A"/>
      <rgbColor rgb="FF003300"/>
      <rgbColor rgb="FF333300"/>
      <rgbColor rgb="FF993300"/>
      <rgbColor rgb="FF993366"/>
      <rgbColor rgb="FF4C3AE3"/>
      <rgbColor rgb="FF1B1D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3"/>
  <sheetViews>
    <sheetView showGridLines="0" tabSelected="1" zoomScaleNormal="100" workbookViewId="0">
      <pane ySplit="5" topLeftCell="A6" activePane="bottomLeft" state="frozen"/>
      <selection pane="bottomLeft" activeCell="AG23" sqref="AG23"/>
    </sheetView>
  </sheetViews>
  <sheetFormatPr baseColWidth="10" defaultColWidth="8.6640625" defaultRowHeight="14.4" x14ac:dyDescent="0.3"/>
  <cols>
    <col min="1" max="1" width="22" customWidth="1"/>
    <col min="2" max="2" width="42" customWidth="1"/>
    <col min="3" max="4" width="12" customWidth="1"/>
    <col min="5" max="5" width="7" customWidth="1"/>
    <col min="6" max="6" width="9" customWidth="1"/>
    <col min="7" max="26" width="4.21875" customWidth="1"/>
    <col min="27" max="33" width="4.77734375" customWidth="1"/>
  </cols>
  <sheetData>
    <row r="1" spans="1:33" ht="17.399999999999999" x14ac:dyDescent="0.3">
      <c r="A1" s="1" t="s">
        <v>0</v>
      </c>
    </row>
    <row r="2" spans="1:33" x14ac:dyDescent="0.3">
      <c r="A2" s="2" t="s">
        <v>22</v>
      </c>
      <c r="B2" t="s">
        <v>23</v>
      </c>
    </row>
    <row r="3" spans="1:33" x14ac:dyDescent="0.3">
      <c r="A3" s="3" t="s">
        <v>24</v>
      </c>
      <c r="B3" t="s">
        <v>25</v>
      </c>
      <c r="C3" s="4">
        <f>MIN(C6:C21)-WEEKDAY(MIN(C6:C21),3)</f>
        <v>44851</v>
      </c>
    </row>
    <row r="5" spans="1:33" ht="39.75" customHeight="1" x14ac:dyDescent="0.3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6">
        <f>$C$3</f>
        <v>44851</v>
      </c>
      <c r="H5" s="6">
        <f t="shared" ref="H5" si="0">G5+7</f>
        <v>44858</v>
      </c>
      <c r="I5" s="6">
        <v>46249</v>
      </c>
      <c r="J5" s="6">
        <v>46251</v>
      </c>
      <c r="K5" s="6">
        <v>46257</v>
      </c>
      <c r="L5" s="6">
        <v>46258</v>
      </c>
      <c r="M5" s="6">
        <v>46272</v>
      </c>
      <c r="N5" s="6">
        <v>46286</v>
      </c>
      <c r="O5" s="6">
        <v>46292</v>
      </c>
      <c r="P5" s="6">
        <v>46300</v>
      </c>
      <c r="Q5" s="6">
        <v>46306</v>
      </c>
      <c r="R5" s="6">
        <v>46307</v>
      </c>
      <c r="S5" s="6">
        <v>46313</v>
      </c>
      <c r="T5" s="6">
        <v>46314</v>
      </c>
      <c r="U5" s="6">
        <v>46320</v>
      </c>
      <c r="V5" s="6">
        <v>46321</v>
      </c>
      <c r="W5" s="6">
        <v>46327</v>
      </c>
      <c r="X5" s="6">
        <v>46307</v>
      </c>
      <c r="Y5" s="6">
        <v>46320</v>
      </c>
      <c r="Z5" s="6">
        <v>46328</v>
      </c>
      <c r="AA5" s="6">
        <v>46334</v>
      </c>
      <c r="AB5" s="6">
        <v>46335</v>
      </c>
      <c r="AC5" s="6">
        <v>46348</v>
      </c>
      <c r="AD5" s="6">
        <v>46356</v>
      </c>
      <c r="AE5" s="6">
        <v>46362</v>
      </c>
      <c r="AF5" s="6">
        <v>46363</v>
      </c>
      <c r="AG5" s="6">
        <v>46369</v>
      </c>
    </row>
    <row r="6" spans="1:33" x14ac:dyDescent="0.3">
      <c r="A6" s="7" t="s">
        <v>7</v>
      </c>
      <c r="B6" s="7" t="s">
        <v>8</v>
      </c>
      <c r="C6" s="8">
        <v>46237</v>
      </c>
      <c r="D6" s="8">
        <v>46244</v>
      </c>
      <c r="E6" s="9">
        <v>7</v>
      </c>
      <c r="F6" s="10">
        <v>1</v>
      </c>
      <c r="G6" s="15"/>
      <c r="H6" s="15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33" x14ac:dyDescent="0.3">
      <c r="A7" s="7" t="s">
        <v>7</v>
      </c>
      <c r="B7" s="7" t="s">
        <v>26</v>
      </c>
      <c r="C7" s="8">
        <v>46249</v>
      </c>
      <c r="D7" s="8">
        <v>46251</v>
      </c>
      <c r="E7" s="9">
        <v>2</v>
      </c>
      <c r="F7" s="10">
        <v>1</v>
      </c>
      <c r="G7" s="11"/>
      <c r="H7" s="11"/>
      <c r="I7" s="15"/>
      <c r="J7" s="15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33" x14ac:dyDescent="0.3">
      <c r="A8" s="7" t="s">
        <v>10</v>
      </c>
      <c r="B8" s="7" t="s">
        <v>11</v>
      </c>
      <c r="C8" s="8">
        <v>46237</v>
      </c>
      <c r="D8" s="8">
        <v>46244</v>
      </c>
      <c r="E8" s="9">
        <v>7</v>
      </c>
      <c r="F8" s="12">
        <v>1</v>
      </c>
      <c r="G8" s="15"/>
      <c r="H8" s="15"/>
      <c r="I8" s="11"/>
      <c r="J8" s="13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33" x14ac:dyDescent="0.3">
      <c r="A9" s="7" t="s">
        <v>10</v>
      </c>
      <c r="B9" s="7" t="s">
        <v>12</v>
      </c>
      <c r="C9" s="8">
        <v>46249</v>
      </c>
      <c r="D9" s="8">
        <v>46251</v>
      </c>
      <c r="E9" s="9">
        <v>2</v>
      </c>
      <c r="F9" s="10">
        <v>1</v>
      </c>
      <c r="G9" s="11"/>
      <c r="H9" s="11"/>
      <c r="I9" s="15"/>
      <c r="J9" s="15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33" x14ac:dyDescent="0.3">
      <c r="A10" s="7" t="s">
        <v>10</v>
      </c>
      <c r="B10" s="7" t="s">
        <v>13</v>
      </c>
      <c r="C10" s="8">
        <v>46251</v>
      </c>
      <c r="D10" s="8">
        <v>46257</v>
      </c>
      <c r="E10" s="9">
        <v>7</v>
      </c>
      <c r="F10" s="10">
        <v>1</v>
      </c>
      <c r="G10" s="11"/>
      <c r="H10" s="11"/>
      <c r="I10" s="11"/>
      <c r="J10" s="15"/>
      <c r="K10" s="15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33" x14ac:dyDescent="0.3">
      <c r="A11" s="7" t="s">
        <v>10</v>
      </c>
      <c r="B11" s="7" t="s">
        <v>14</v>
      </c>
      <c r="C11" s="8">
        <v>46258</v>
      </c>
      <c r="D11" s="8">
        <v>46272</v>
      </c>
      <c r="E11" s="9">
        <v>7</v>
      </c>
      <c r="F11" s="10">
        <v>1</v>
      </c>
      <c r="G11" s="11"/>
      <c r="H11" s="11"/>
      <c r="I11" s="11"/>
      <c r="J11" s="11"/>
      <c r="K11" s="11"/>
      <c r="L11" s="15"/>
      <c r="M11" s="15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33" x14ac:dyDescent="0.3">
      <c r="A12" s="7" t="s">
        <v>10</v>
      </c>
      <c r="B12" s="7" t="s">
        <v>9</v>
      </c>
      <c r="C12" s="8">
        <v>46286</v>
      </c>
      <c r="D12" s="8">
        <v>46292</v>
      </c>
      <c r="E12" s="9">
        <f t="shared" ref="E12:E22" si="1">D12-C12+1</f>
        <v>7</v>
      </c>
      <c r="F12" s="10">
        <v>1</v>
      </c>
      <c r="G12" s="11"/>
      <c r="H12" s="11"/>
      <c r="I12" s="11"/>
      <c r="J12" s="11"/>
      <c r="K12" s="11"/>
      <c r="L12" s="11"/>
      <c r="M12" s="11"/>
      <c r="N12" s="15"/>
      <c r="O12" s="15"/>
      <c r="P12" s="11"/>
      <c r="Q12" s="11"/>
      <c r="R12" s="11"/>
      <c r="S12" s="11"/>
      <c r="T12" s="11"/>
      <c r="U12" s="11"/>
      <c r="V12" s="11"/>
      <c r="W12" s="11"/>
    </row>
    <row r="13" spans="1:33" x14ac:dyDescent="0.3">
      <c r="A13" s="7" t="s">
        <v>15</v>
      </c>
      <c r="B13" s="7" t="s">
        <v>16</v>
      </c>
      <c r="C13" s="8">
        <v>46300</v>
      </c>
      <c r="D13" s="8">
        <v>46306</v>
      </c>
      <c r="E13" s="9">
        <f t="shared" si="1"/>
        <v>7</v>
      </c>
      <c r="F13" s="10">
        <v>0</v>
      </c>
      <c r="G13" s="11"/>
      <c r="H13" s="11"/>
      <c r="I13" s="11"/>
      <c r="J13" s="11"/>
      <c r="K13" s="11"/>
      <c r="L13" s="11"/>
      <c r="M13" s="11"/>
      <c r="N13" s="11"/>
      <c r="O13" s="11"/>
      <c r="P13" s="16"/>
      <c r="Q13" s="16"/>
      <c r="R13" s="11"/>
      <c r="S13" s="11"/>
      <c r="T13" s="11"/>
      <c r="U13" s="11"/>
      <c r="V13" s="11"/>
      <c r="W13" s="11"/>
      <c r="X13" s="11"/>
    </row>
    <row r="14" spans="1:33" x14ac:dyDescent="0.3">
      <c r="A14" s="7" t="s">
        <v>15</v>
      </c>
      <c r="B14" s="7" t="s">
        <v>17</v>
      </c>
      <c r="C14" s="8">
        <v>46307</v>
      </c>
      <c r="D14" s="8">
        <v>46313</v>
      </c>
      <c r="E14" s="9">
        <f t="shared" si="1"/>
        <v>7</v>
      </c>
      <c r="F14" s="10">
        <v>0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6"/>
      <c r="S14" s="16"/>
      <c r="T14" s="11"/>
      <c r="U14" s="11"/>
      <c r="V14" s="11"/>
      <c r="W14" s="11"/>
      <c r="X14" s="11"/>
    </row>
    <row r="15" spans="1:33" x14ac:dyDescent="0.3">
      <c r="A15" s="7" t="s">
        <v>15</v>
      </c>
      <c r="B15" s="7" t="s">
        <v>18</v>
      </c>
      <c r="C15" s="8">
        <v>46314</v>
      </c>
      <c r="D15" s="8">
        <v>46320</v>
      </c>
      <c r="E15" s="9">
        <f t="shared" si="1"/>
        <v>7</v>
      </c>
      <c r="F15" s="10">
        <v>0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6"/>
      <c r="U15" s="16"/>
      <c r="V15" s="11"/>
      <c r="W15" s="11"/>
      <c r="X15" s="11"/>
      <c r="Y15" s="11"/>
    </row>
    <row r="16" spans="1:33" x14ac:dyDescent="0.3">
      <c r="A16" s="7" t="s">
        <v>15</v>
      </c>
      <c r="B16" s="7" t="s">
        <v>19</v>
      </c>
      <c r="C16" s="8">
        <v>44853</v>
      </c>
      <c r="D16" s="8">
        <v>46320</v>
      </c>
      <c r="E16" s="9">
        <v>7</v>
      </c>
      <c r="F16" s="10">
        <v>0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6"/>
      <c r="U16" s="16"/>
      <c r="V16" s="11"/>
      <c r="W16" s="11"/>
      <c r="X16" s="11"/>
      <c r="Y16" s="11"/>
    </row>
    <row r="17" spans="1:33" x14ac:dyDescent="0.3">
      <c r="A17" s="7" t="s">
        <v>15</v>
      </c>
      <c r="B17" s="7" t="s">
        <v>20</v>
      </c>
      <c r="C17" s="8">
        <v>46321</v>
      </c>
      <c r="D17" s="8">
        <v>46327</v>
      </c>
      <c r="E17" s="9">
        <f t="shared" si="1"/>
        <v>7</v>
      </c>
      <c r="F17" s="10">
        <v>0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6"/>
      <c r="W17" s="16"/>
      <c r="X17" s="11"/>
      <c r="Y17" s="11"/>
    </row>
    <row r="18" spans="1:33" x14ac:dyDescent="0.3">
      <c r="A18" s="7" t="s">
        <v>15</v>
      </c>
      <c r="B18" s="7" t="s">
        <v>21</v>
      </c>
      <c r="C18" s="8">
        <v>46321</v>
      </c>
      <c r="D18" s="8">
        <v>46327</v>
      </c>
      <c r="E18" s="9">
        <f t="shared" si="1"/>
        <v>7</v>
      </c>
      <c r="F18" s="10">
        <v>0</v>
      </c>
      <c r="G18" s="11"/>
      <c r="H18" s="11"/>
      <c r="I18" s="11"/>
      <c r="J18" s="11"/>
      <c r="K18" s="13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6"/>
      <c r="W18" s="16"/>
      <c r="X18" s="11"/>
      <c r="Y18" s="11"/>
    </row>
    <row r="19" spans="1:33" x14ac:dyDescent="0.3">
      <c r="A19" s="7" t="s">
        <v>28</v>
      </c>
      <c r="B19" s="7" t="s">
        <v>29</v>
      </c>
      <c r="C19" s="8">
        <v>46307</v>
      </c>
      <c r="D19" s="8">
        <v>46320</v>
      </c>
      <c r="E19" s="9">
        <f t="shared" si="1"/>
        <v>14</v>
      </c>
      <c r="F19" s="10">
        <v>0</v>
      </c>
      <c r="G19" s="11"/>
      <c r="H19" s="11"/>
      <c r="I19" s="11"/>
      <c r="J19" s="11"/>
      <c r="K19" s="13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6"/>
      <c r="Y19" s="16"/>
    </row>
    <row r="20" spans="1:33" x14ac:dyDescent="0.3">
      <c r="A20" s="7" t="s">
        <v>27</v>
      </c>
      <c r="B20" s="7" t="s">
        <v>30</v>
      </c>
      <c r="C20" s="8">
        <v>46328</v>
      </c>
      <c r="D20" s="8">
        <v>46334</v>
      </c>
      <c r="E20" s="9">
        <f t="shared" si="1"/>
        <v>7</v>
      </c>
      <c r="F20" s="10">
        <v>0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8"/>
      <c r="AA20" s="18"/>
    </row>
    <row r="21" spans="1:33" x14ac:dyDescent="0.3">
      <c r="A21" s="7" t="s">
        <v>31</v>
      </c>
      <c r="B21" s="14" t="s">
        <v>32</v>
      </c>
      <c r="C21" s="8">
        <v>46335</v>
      </c>
      <c r="D21" s="8">
        <v>46348</v>
      </c>
      <c r="E21" s="9">
        <f t="shared" si="1"/>
        <v>14</v>
      </c>
      <c r="F21" s="10">
        <v>0</v>
      </c>
      <c r="G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AB21" s="18"/>
      <c r="AC21" s="18"/>
    </row>
    <row r="22" spans="1:33" x14ac:dyDescent="0.3">
      <c r="A22" s="17" t="s">
        <v>33</v>
      </c>
      <c r="B22" s="17" t="s">
        <v>34</v>
      </c>
      <c r="C22" s="8">
        <v>46356</v>
      </c>
      <c r="D22" s="8">
        <v>46362</v>
      </c>
      <c r="E22" s="9">
        <f t="shared" si="1"/>
        <v>7</v>
      </c>
      <c r="F22" s="10">
        <v>0</v>
      </c>
      <c r="AD22" s="18"/>
      <c r="AE22" s="18"/>
    </row>
    <row r="23" spans="1:33" x14ac:dyDescent="0.3">
      <c r="A23" s="17" t="s">
        <v>35</v>
      </c>
      <c r="B23" s="17" t="s">
        <v>36</v>
      </c>
      <c r="C23" s="8">
        <v>46363</v>
      </c>
      <c r="D23" s="8">
        <v>46369</v>
      </c>
      <c r="E23" s="9">
        <f>D23-C23+1</f>
        <v>7</v>
      </c>
      <c r="F23" s="10">
        <v>0</v>
      </c>
      <c r="AF23" s="18"/>
      <c r="AG23" s="18"/>
    </row>
  </sheetData>
  <dataValidations count="1">
    <dataValidation type="custom" showErrorMessage="1" error="La fecha de fin no puede ser anterior al inicio." sqref="D6:D23" xr:uid="{00000000-0002-0000-0000-000000000000}">
      <formula1>D6&gt;=C6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joelfranco123@outlook.es</cp:lastModifiedBy>
  <cp:revision>0</cp:revision>
  <dcterms:created xsi:type="dcterms:W3CDTF">2026-10-05T15:23:03Z</dcterms:created>
  <dcterms:modified xsi:type="dcterms:W3CDTF">2026-10-07T19:02:54Z</dcterms:modified>
  <dc:language>en-US</dc:language>
</cp:coreProperties>
</file>